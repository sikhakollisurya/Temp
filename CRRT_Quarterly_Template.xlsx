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s_Metrics" sheetId="1" state="visible" r:id="rId3"/>
    <sheet name="Manager_Inputs" sheetId="2" state="visible" r:id="rId4"/>
    <sheet name="HOW_TO_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<sst xmlns="http://schemas.openxmlformats.org/spreadsheetml/2006/main" count="186" uniqueCount="148">
  <si>
    <t xml:space="preserve">CRRT QUARTERLY PERFORMANCE DATA — KPIs &amp; METRICS</t>
  </si>
  <si>
    <t xml:space="preserve">Instructions: Fill ONLY the yellow-highlighted cells. Do not edit any other cells. Save and reload the dashboard.</t>
  </si>
  <si>
    <t xml:space="preserve">  ① REPORT CONTEXT</t>
  </si>
  <si>
    <t xml:space="preserve">Parameter</t>
  </si>
  <si>
    <t xml:space="preserve">← Enter Value Here</t>
  </si>
  <si>
    <t xml:space="preserve">Notes / Unit</t>
  </si>
  <si>
    <t xml:space="preserve">Definition</t>
  </si>
  <si>
    <t xml:space="preserve">Quarter</t>
  </si>
  <si>
    <t xml:space="preserve">Q1</t>
  </si>
  <si>
    <t xml:space="preserve">e.g. Q1, Q2, Q3, Q4</t>
  </si>
  <si>
    <t xml:space="preserve">Year</t>
  </si>
  <si>
    <t xml:space="preserve">2026</t>
  </si>
  <si>
    <t xml:space="preserve">e.g. 2026</t>
  </si>
  <si>
    <t xml:space="preserve">Reporting Period</t>
  </si>
  <si>
    <t xml:space="preserve">January – March 2026</t>
  </si>
  <si>
    <t xml:space="preserve">e.g. January – March 2026</t>
  </si>
  <si>
    <t xml:space="preserve">Prepared Date</t>
  </si>
  <si>
    <t xml:space="preserve">April 2026</t>
  </si>
  <si>
    <t xml:space="preserve">e.g. April 2026</t>
  </si>
  <si>
    <t xml:space="preserve">Business Unit / Function</t>
  </si>
  <si>
    <t xml:space="preserve">CRRT</t>
  </si>
  <si>
    <t xml:space="preserve">e.g. CRRT</t>
  </si>
  <si>
    <t xml:space="preserve">  ② CORE KPIs</t>
  </si>
  <si>
    <t xml:space="preserve">Total Work Items Delivered</t>
  </si>
  <si>
    <t xml:space="preserve">Total number of completed work outputs in the period</t>
  </si>
  <si>
    <t xml:space="preserve">Count</t>
  </si>
  <si>
    <t xml:space="preserve">Backlog / Pending Items</t>
  </si>
  <si>
    <t xml:space="preserve">Work items not yet completed</t>
  </si>
  <si>
    <t xml:space="preserve">Team Size (FTE)</t>
  </si>
  <si>
    <t xml:space="preserve">Number of active contributors</t>
  </si>
  <si>
    <t xml:space="preserve">Headcount</t>
  </si>
  <si>
    <t xml:space="preserve">Target / Plan (Total Items)</t>
  </si>
  <si>
    <t xml:space="preserve">Expected or committed performance level</t>
  </si>
  <si>
    <t xml:space="preserve">% Achievement</t>
  </si>
  <si>
    <t xml:space="preserve">%</t>
  </si>
  <si>
    <t xml:space="preserve">Auto-calc</t>
  </si>
  <si>
    <t xml:space="preserve">  ③ WORK TYPE MIX (Counts)</t>
  </si>
  <si>
    <t xml:space="preserve">Work Type</t>
  </si>
  <si>
    <t xml:space="preserve">← Enter Count</t>
  </si>
  <si>
    <t xml:space="preserve">BAU Works</t>
  </si>
  <si>
    <t xml:space="preserve">Operational run-the-business work</t>
  </si>
  <si>
    <t xml:space="preserve">Non-BAU / Change Work</t>
  </si>
  <si>
    <t xml:space="preserve">Enhancements, transformation, automation outputs</t>
  </si>
  <si>
    <t xml:space="preserve">Regulatory Works</t>
  </si>
  <si>
    <t xml:space="preserve">Work items with regulatory or compliance impact</t>
  </si>
  <si>
    <t xml:space="preserve">Executive / Board-Facing Work</t>
  </si>
  <si>
    <t xml:space="preserve">Work supporting executive or board decisions</t>
  </si>
  <si>
    <t xml:space="preserve">Risk / Control Work</t>
  </si>
  <si>
    <t xml:space="preserve">Risk, validation, and control-related outputs</t>
  </si>
  <si>
    <t xml:space="preserve">  ④ DELIVERY &amp; QUALITY</t>
  </si>
  <si>
    <t xml:space="preserve">On-Time Delivery Rate (%)</t>
  </si>
  <si>
    <t xml:space="preserve">% of work delivered on or before plan</t>
  </si>
  <si>
    <t xml:space="preserve">0–100</t>
  </si>
  <si>
    <t xml:space="preserve">Quality Index (%)</t>
  </si>
  <si>
    <t xml:space="preserve">Accuracy and correctness of outputs</t>
  </si>
  <si>
    <t xml:space="preserve">Total Defects / Issue Count</t>
  </si>
  <si>
    <t xml:space="preserve">Number of quality issues identified</t>
  </si>
  <si>
    <t xml:space="preserve">Rework / Correction Rate (%)</t>
  </si>
  <si>
    <t xml:space="preserve">% of work needing rework</t>
  </si>
  <si>
    <t xml:space="preserve">Critical Work Coverage (%)</t>
  </si>
  <si>
    <t xml:space="preserve">% of work classified as high criticality</t>
  </si>
  <si>
    <t xml:space="preserve">Resubmission Count</t>
  </si>
  <si>
    <t xml:space="preserve">Number of outputs requiring re-release</t>
  </si>
  <si>
    <t xml:space="preserve">  ⑤ RISK &amp; SUSTAINABILITY</t>
  </si>
  <si>
    <t xml:space="preserve">Executive Attention Required (Count)</t>
  </si>
  <si>
    <t xml:space="preserve">Work items reviewed by executives</t>
  </si>
  <si>
    <t xml:space="preserve">Single Point of Failure Work (Count)</t>
  </si>
  <si>
    <t xml:space="preserve">Processes dependent on one person</t>
  </si>
  <si>
    <t xml:space="preserve">Busy Bandwidth / Utilization (%)</t>
  </si>
  <si>
    <t xml:space="preserve">Avg utilization across team members</t>
  </si>
  <si>
    <t xml:space="preserve">Peak Workload Month</t>
  </si>
  <si>
    <t xml:space="preserve">Feb</t>
  </si>
  <si>
    <t xml:space="preserve">Month with highest work concentration</t>
  </si>
  <si>
    <t xml:space="preserve">e.g. Feb</t>
  </si>
  <si>
    <t xml:space="preserve">% of total work classified as critical (avg)</t>
  </si>
  <si>
    <t xml:space="preserve">  ⑥ VALUE &amp; EFFICIENCY</t>
  </si>
  <si>
    <t xml:space="preserve">Time / Effort Saved (Hours)</t>
  </si>
  <si>
    <t xml:space="preserve">Estimated effort reduced due to efficiencies</t>
  </si>
  <si>
    <t xml:space="preserve">Hours</t>
  </si>
  <si>
    <t xml:space="preserve">Automation / Process Improvements (Count)</t>
  </si>
  <si>
    <t xml:space="preserve">Improvement count or scope</t>
  </si>
  <si>
    <t xml:space="preserve">Cost Saved (Estimated USD)</t>
  </si>
  <si>
    <t xml:space="preserve">Estimated operational savings</t>
  </si>
  <si>
    <t xml:space="preserve">USD</t>
  </si>
  <si>
    <t xml:space="preserve">Business Value Generated</t>
  </si>
  <si>
    <t xml:space="preserve">Regulatory risk reduced, 3 automation deployed</t>
  </si>
  <si>
    <t xml:space="preserve">Revenue protected or risk mitigated</t>
  </si>
  <si>
    <t xml:space="preserve">Text/USD</t>
  </si>
  <si>
    <t xml:space="preserve">  ⑦ QUARTER-OVER-QUARTER TREND (Optional)</t>
  </si>
  <si>
    <t xml:space="preserve">Metric</t>
  </si>
  <si>
    <t xml:space="preserve">Previous Quarter Value</t>
  </si>
  <si>
    <t xml:space="preserve">Notes</t>
  </si>
  <si>
    <t xml:space="preserve">Auto-Variance (%)</t>
  </si>
  <si>
    <t xml:space="preserve">Total Items Delivered (Prev Qtr)</t>
  </si>
  <si>
    <t xml:space="preserve">On-Time Delivery Rate (Prev Qtr)</t>
  </si>
  <si>
    <t xml:space="preserve">Quality Index (Prev Qtr)</t>
  </si>
  <si>
    <t xml:space="preserve">CRRT QUARTERLY PERFORMANCE DATA — MANAGER NARRATIVE INPUTS</t>
  </si>
  <si>
    <t xml:space="preserve">Instructions: Fill the yellow cells with plain text. Each item on a new line within the cell (use Alt+Enter). Keep entries concise (1–2 sentences each).</t>
  </si>
  <si>
    <t xml:space="preserve">  ① EXECUTIVE SUMMARY (One-liner shown at top of dashboard)</t>
  </si>
  <si>
    <t xml:space="preserve">Executive Summary</t>
  </si>
  <si>
    <t xml:space="preserve">The CRRT team delivered 204 work items this quarter — 88% on time, with 92.8% quality index — driven heavily by risk and regulatory obligations. Value impact includes 340 hours saved and 3 automation improvements deployed.</t>
  </si>
  <si>
    <t xml:space="preserve">  ② KEY ACHIEVEMENTS &amp; WINS</t>
  </si>
  <si>
    <t xml:space="preserve">Achievement 1</t>
  </si>
  <si>
    <t xml:space="preserve">Successfully delivered all Q1 regulatory obligations ahead of deadline</t>
  </si>
  <si>
    <t xml:space="preserve">Achievement 2</t>
  </si>
  <si>
    <t xml:space="preserve">Reduced rework rate from 9.4% to 7.2% through process standardization</t>
  </si>
  <si>
    <t xml:space="preserve">Achievement 3</t>
  </si>
  <si>
    <t xml:space="preserve">Onboarded 2 new team members with zero delivery disruption</t>
  </si>
  <si>
    <t xml:space="preserve">Achievement 4</t>
  </si>
  <si>
    <t xml:space="preserve">Deployed automated reporting pipeline saving 80+ hrs/quarter</t>
  </si>
  <si>
    <t xml:space="preserve">  ③ UPCOMING PRIORITIES — NEXT QUARTER</t>
  </si>
  <si>
    <t xml:space="preserve">Priority 1</t>
  </si>
  <si>
    <t xml:space="preserve">Complete Phase 2 of regulatory audit readiness program</t>
  </si>
  <si>
    <t xml:space="preserve">Priority 2</t>
  </si>
  <si>
    <t xml:space="preserve">Address SPOF risk by cross-training 2 identified team members</t>
  </si>
  <si>
    <t xml:space="preserve">Priority 3</t>
  </si>
  <si>
    <t xml:space="preserve">Expand automation coverage to 2 additional BAU workflows</t>
  </si>
  <si>
    <t xml:space="preserve">Priority 4</t>
  </si>
  <si>
    <t xml:space="preserve">Deliver board-facing risk summary for June review</t>
  </si>
  <si>
    <t xml:space="preserve">  ④ EXECUTIVE ASKS / DECISIONS NEEDED</t>
  </si>
  <si>
    <t xml:space="preserve">Ask / Decision 1</t>
  </si>
  <si>
    <t xml:space="preserve">Approval needed: Headcount increase request for Q3 surge coverage</t>
  </si>
  <si>
    <t xml:space="preserve">Ask / Decision 2</t>
  </si>
  <si>
    <t xml:space="preserve">Decision: Prioritization of regulatory vs executive-facing work in Q2</t>
  </si>
  <si>
    <t xml:space="preserve">Ask / Decision 3</t>
  </si>
  <si>
    <t xml:space="preserve">Awareness: 2 SPOF risks flagged — escalation path to be confirmed</t>
  </si>
  <si>
    <t xml:space="preserve">  ⑤ IMPACT STATEMENT (Business impact this quarter)</t>
  </si>
  <si>
    <t xml:space="preserve">Impact Statement</t>
  </si>
  <si>
    <t xml:space="preserve">CRRT's regulatory work directly supported compliance obligations, preventing potential audit exposure. Automation improvements reduced manual effort by 340 hours, equivalent to ~$42K in operational savings.</t>
  </si>
  <si>
    <t xml:space="preserve">HOW TO USE THIS TEMPLATE</t>
  </si>
  <si>
    <t xml:space="preserve">STEP 1</t>
  </si>
  <si>
    <t xml:space="preserve">Open the 'KPIs_Metrics' sheet. Fill all yellow-highlighted cells with your quarter's data.</t>
  </si>
  <si>
    <t xml:space="preserve">STEP 2</t>
  </si>
  <si>
    <t xml:space="preserve">Open the 'Manager_Inputs' sheet. Fill the yellow cells with qualitative narrative text.</t>
  </si>
  <si>
    <t xml:space="preserve">STEP 3</t>
  </si>
  <si>
    <t xml:space="preserve">Save the Excel file.</t>
  </si>
  <si>
    <t xml:space="preserve">STEP 4</t>
  </si>
  <si>
    <t xml:space="preserve">Open the dashboard HTML file in your browser. Click 'Load Excel Data' and select this file.</t>
  </si>
  <si>
    <t xml:space="preserve">STEP 5</t>
  </si>
  <si>
    <t xml:space="preserve">The dashboard will automatically populate with your data and refresh all charts.</t>
  </si>
  <si>
    <t xml:space="preserve">DO NOT</t>
  </si>
  <si>
    <t xml:space="preserve">Edit any non-yellow cells — they contain labels, formulas, or structure.</t>
  </si>
  <si>
    <t xml:space="preserve">Rename the sheets — the dashboard reads data by sheet name.</t>
  </si>
  <si>
    <t xml:space="preserve">Add or remove rows — keep the structure exactly as-is.</t>
  </si>
  <si>
    <t xml:space="preserve">QUARTERLY</t>
  </si>
  <si>
    <t xml:space="preserve">Each quarter, simply overwrite the values in yellow cells with new data and reload the dashboard.</t>
  </si>
  <si>
    <t xml:space="preserve">NEED HELP?</t>
  </si>
  <si>
    <t xml:space="preserve">Contact your dashboard administrator or refer to the parameter definitions in Column D of KPIs_Metrics.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</si>
</sst>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\%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57575"/>
      <name val="Arial"/>
      <family val="0"/>
      <charset val="1"/>
    </font>
    <font>
      <sz val="9"/>
      <color rgb="FF3D3D3D"/>
      <name val="Arial"/>
      <family val="0"/>
      <charset val="1"/>
    </font>
    <font>
      <b val="true"/>
      <sz val="10"/>
      <color rgb="FF3D3D3D"/>
      <name val="Arial"/>
      <family val="0"/>
      <charset val="1"/>
    </font>
    <font>
      <b val="true"/>
      <sz val="9"/>
      <color rgb="FF3D3D3D"/>
      <name val="Arial"/>
      <family val="0"/>
      <charset val="1"/>
    </font>
    <font>
      <sz val="10"/>
      <color rgb="FF3D3D3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757575"/>
      <name val="Arial"/>
      <family val="0"/>
      <charset val="1"/>
    </font>
    <font>
      <b val="true"/>
      <sz val="10"/>
      <color rgb="FFC810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FF9D6"/>
        <bgColor rgb="FFF7F6F4"/>
      </patternFill>
    </fill>
    <fill>
      <patternFill patternType="solid">
        <fgColor rgb="FFF7F6F4"/>
        <bgColor rgb="FFF0F0F0"/>
      </patternFill>
    </fill>
    <fill>
      <patternFill patternType="solid">
        <fgColor rgb="FFFFFFFF"/>
        <bgColor rgb="FFF7F6F4"/>
      </patternFill>
    </fill>
    <fill>
      <patternFill patternType="solid">
        <fgColor rgb="FFF0F0F0"/>
        <bgColor rgb="FFF7F6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57575"/>
      <rgbColor rgb="FF9999FF"/>
      <rgbColor rgb="FF993366"/>
      <rgbColor rgb="FFFFF9D6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F7F6F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22"/>
    <col collapsed="false" customWidth="true" hidden="false" outlineLevel="0" max="4" min="4" style="1" width="30"/>
  </cols>
  <sheetData>
    <row r="1" customFormat="false" ht="39.75" hidden="false" customHeight="true" outlineLevel="0" collapsed="false">
      <c r="A1" s="2" t="s">
        <v>0</v>
      </c>
      <c r="B1" s="2"/>
      <c r="C1" s="2"/>
      <c r="D1" s="2"/>
    </row>
    <row r="2" customFormat="false" ht="27.75" hidden="false" customHeight="true" outlineLevel="0" collapsed="false">
      <c r="A2" s="3" t="s">
        <v>1</v>
      </c>
      <c r="B2" s="3"/>
      <c r="C2" s="3"/>
      <c r="D2" s="3"/>
    </row>
    <row r="3" customFormat="false" ht="24" hidden="false" customHeight="true" outlineLevel="0" collapsed="false">
      <c r="A3" s="4" t="s">
        <v>2</v>
      </c>
      <c r="B3" s="4"/>
      <c r="C3" s="4"/>
      <c r="D3" s="4"/>
    </row>
    <row r="4" customFormat="false" ht="19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21.75" hidden="false" customHeight="true" outlineLevel="0" collapsed="false">
      <c r="A5" s="6" t="s">
        <v>7</v>
      </c>
      <c r="B5" s="7" t="s">
        <v>8</v>
      </c>
      <c r="C5" s="8"/>
      <c r="D5" s="6" t="s">
        <v>9</v>
      </c>
    </row>
    <row r="6" customFormat="false" ht="21.75" hidden="false" customHeight="true" outlineLevel="0" collapsed="false">
      <c r="A6" s="6" t="s">
        <v>10</v>
      </c>
      <c r="B6" s="7" t="s">
        <v>11</v>
      </c>
      <c r="C6" s="8"/>
      <c r="D6" s="6" t="s">
        <v>12</v>
      </c>
    </row>
    <row r="7" customFormat="false" ht="21.75" hidden="false" customHeight="true" outlineLevel="0" collapsed="false">
      <c r="A7" s="6" t="s">
        <v>13</v>
      </c>
      <c r="B7" s="7" t="s">
        <v>14</v>
      </c>
      <c r="C7" s="8"/>
      <c r="D7" s="6" t="s">
        <v>15</v>
      </c>
    </row>
    <row r="8" customFormat="false" ht="21.75" hidden="false" customHeight="true" outlineLevel="0" collapsed="false">
      <c r="A8" s="6" t="s">
        <v>16</v>
      </c>
      <c r="B8" s="7" t="s">
        <v>17</v>
      </c>
      <c r="C8" s="8"/>
      <c r="D8" s="6" t="s">
        <v>18</v>
      </c>
    </row>
    <row r="9" customFormat="false" ht="21.75" hidden="false" customHeight="true" outlineLevel="0" collapsed="false">
      <c r="A9" s="6" t="s">
        <v>19</v>
      </c>
      <c r="B9" s="7" t="s">
        <v>20</v>
      </c>
      <c r="C9" s="8"/>
      <c r="D9" s="6" t="s">
        <v>21</v>
      </c>
    </row>
    <row r="11" customFormat="false" ht="24" hidden="false" customHeight="true" outlineLevel="0" collapsed="false">
      <c r="A11" s="4" t="s">
        <v>22</v>
      </c>
      <c r="B11" s="4"/>
      <c r="C11" s="4"/>
      <c r="D11" s="4"/>
    </row>
    <row r="12" customFormat="false" ht="19.5" hidden="false" customHeight="true" outlineLevel="0" collapsed="false">
      <c r="A12" s="5" t="s">
        <v>3</v>
      </c>
      <c r="B12" s="5" t="s">
        <v>4</v>
      </c>
      <c r="C12" s="5" t="s">
        <v>5</v>
      </c>
      <c r="D12" s="5" t="s">
        <v>6</v>
      </c>
    </row>
    <row r="13" customFormat="false" ht="21.75" hidden="false" customHeight="true" outlineLevel="0" collapsed="false">
      <c r="A13" s="6" t="s">
        <v>23</v>
      </c>
      <c r="B13" s="7" t="n">
        <v>204</v>
      </c>
      <c r="C13" s="8" t="s">
        <v>24</v>
      </c>
      <c r="D13" s="6" t="s">
        <v>25</v>
      </c>
    </row>
    <row r="14" customFormat="false" ht="21.75" hidden="false" customHeight="true" outlineLevel="0" collapsed="false">
      <c r="A14" s="6" t="s">
        <v>26</v>
      </c>
      <c r="B14" s="7" t="n">
        <v>34</v>
      </c>
      <c r="C14" s="8" t="s">
        <v>27</v>
      </c>
      <c r="D14" s="6" t="s">
        <v>25</v>
      </c>
    </row>
    <row r="15" customFormat="false" ht="21.75" hidden="false" customHeight="true" outlineLevel="0" collapsed="false">
      <c r="A15" s="6" t="s">
        <v>28</v>
      </c>
      <c r="B15" s="7" t="n">
        <v>12</v>
      </c>
      <c r="C15" s="8" t="s">
        <v>29</v>
      </c>
      <c r="D15" s="6" t="s">
        <v>30</v>
      </c>
    </row>
    <row r="16" customFormat="false" ht="21.75" hidden="false" customHeight="true" outlineLevel="0" collapsed="false">
      <c r="A16" s="6" t="s">
        <v>31</v>
      </c>
      <c r="B16" s="7" t="n">
        <v>210</v>
      </c>
      <c r="C16" s="8" t="s">
        <v>32</v>
      </c>
      <c r="D16" s="6" t="s">
        <v>25</v>
      </c>
    </row>
    <row r="17" customFormat="false" ht="21.75" hidden="false" customHeight="true" outlineLevel="0" collapsed="false">
      <c r="A17" s="6" t="s">
        <v>33</v>
      </c>
      <c r="B17" s="9" t="n">
        <f aca="false">IF(B16&gt;0,B13/B16,"")</f>
        <v>0.971428571428571</v>
      </c>
      <c r="C17" s="8" t="s">
        <v>34</v>
      </c>
      <c r="D17" s="6" t="s">
        <v>35</v>
      </c>
    </row>
    <row r="19" customFormat="false" ht="24" hidden="false" customHeight="true" outlineLevel="0" collapsed="false">
      <c r="A19" s="4" t="s">
        <v>36</v>
      </c>
      <c r="B19" s="4"/>
      <c r="C19" s="4"/>
      <c r="D19" s="4"/>
    </row>
    <row r="20" customFormat="false" ht="19.5" hidden="false" customHeight="true" outlineLevel="0" collapsed="false">
      <c r="A20" s="5" t="s">
        <v>37</v>
      </c>
      <c r="B20" s="5" t="s">
        <v>38</v>
      </c>
      <c r="C20" s="5" t="s">
        <v>5</v>
      </c>
      <c r="D20" s="5" t="s">
        <v>6</v>
      </c>
    </row>
    <row r="21" customFormat="false" ht="21.75" hidden="false" customHeight="true" outlineLevel="0" collapsed="false">
      <c r="A21" s="6" t="s">
        <v>39</v>
      </c>
      <c r="B21" s="7" t="n">
        <v>61</v>
      </c>
      <c r="C21" s="8" t="s">
        <v>40</v>
      </c>
      <c r="D21" s="6" t="s">
        <v>25</v>
      </c>
    </row>
    <row r="22" customFormat="false" ht="21.75" hidden="false" customHeight="true" outlineLevel="0" collapsed="false">
      <c r="A22" s="6" t="s">
        <v>41</v>
      </c>
      <c r="B22" s="7" t="n">
        <v>125</v>
      </c>
      <c r="C22" s="8" t="s">
        <v>42</v>
      </c>
      <c r="D22" s="6" t="s">
        <v>25</v>
      </c>
    </row>
    <row r="23" customFormat="false" ht="21.75" hidden="false" customHeight="true" outlineLevel="0" collapsed="false">
      <c r="A23" s="6" t="s">
        <v>43</v>
      </c>
      <c r="B23" s="7" t="n">
        <v>109</v>
      </c>
      <c r="C23" s="8" t="s">
        <v>44</v>
      </c>
      <c r="D23" s="6" t="s">
        <v>25</v>
      </c>
    </row>
    <row r="24" customFormat="false" ht="21.75" hidden="false" customHeight="true" outlineLevel="0" collapsed="false">
      <c r="A24" s="6" t="s">
        <v>45</v>
      </c>
      <c r="B24" s="7" t="n">
        <v>112</v>
      </c>
      <c r="C24" s="8" t="s">
        <v>46</v>
      </c>
      <c r="D24" s="6" t="s">
        <v>25</v>
      </c>
    </row>
    <row r="25" customFormat="false" ht="21.75" hidden="false" customHeight="true" outlineLevel="0" collapsed="false">
      <c r="A25" s="6" t="s">
        <v>47</v>
      </c>
      <c r="B25" s="7" t="n">
        <v>129</v>
      </c>
      <c r="C25" s="8" t="s">
        <v>48</v>
      </c>
      <c r="D25" s="6" t="s">
        <v>25</v>
      </c>
    </row>
    <row r="27" customFormat="false" ht="24" hidden="false" customHeight="true" outlineLevel="0" collapsed="false">
      <c r="A27" s="4" t="s">
        <v>49</v>
      </c>
      <c r="B27" s="4"/>
      <c r="C27" s="4"/>
      <c r="D27" s="4"/>
    </row>
    <row r="28" customFormat="false" ht="19.5" hidden="false" customHeight="true" outlineLevel="0" collapsed="false">
      <c r="A28" s="5" t="s">
        <v>3</v>
      </c>
      <c r="B28" s="5" t="s">
        <v>4</v>
      </c>
      <c r="C28" s="5" t="s">
        <v>5</v>
      </c>
      <c r="D28" s="5" t="s">
        <v>6</v>
      </c>
    </row>
    <row r="29" customFormat="false" ht="21.75" hidden="false" customHeight="true" outlineLevel="0" collapsed="false">
      <c r="A29" s="6" t="s">
        <v>50</v>
      </c>
      <c r="B29" s="7" t="n">
        <v>88.3</v>
      </c>
      <c r="C29" s="8" t="s">
        <v>51</v>
      </c>
      <c r="D29" s="6" t="s">
        <v>52</v>
      </c>
    </row>
    <row r="30" customFormat="false" ht="21.75" hidden="false" customHeight="true" outlineLevel="0" collapsed="false">
      <c r="A30" s="6" t="s">
        <v>53</v>
      </c>
      <c r="B30" s="7" t="n">
        <v>92.8</v>
      </c>
      <c r="C30" s="8" t="s">
        <v>54</v>
      </c>
      <c r="D30" s="6" t="s">
        <v>52</v>
      </c>
    </row>
    <row r="31" customFormat="false" ht="21.75" hidden="false" customHeight="true" outlineLevel="0" collapsed="false">
      <c r="A31" s="6" t="s">
        <v>55</v>
      </c>
      <c r="B31" s="7" t="n">
        <v>114</v>
      </c>
      <c r="C31" s="8" t="s">
        <v>56</v>
      </c>
      <c r="D31" s="6" t="s">
        <v>25</v>
      </c>
    </row>
    <row r="32" customFormat="false" ht="21.75" hidden="false" customHeight="true" outlineLevel="0" collapsed="false">
      <c r="A32" s="6" t="s">
        <v>57</v>
      </c>
      <c r="B32" s="7" t="n">
        <v>7.2</v>
      </c>
      <c r="C32" s="8" t="s">
        <v>58</v>
      </c>
      <c r="D32" s="6" t="s">
        <v>52</v>
      </c>
    </row>
    <row r="33" customFormat="false" ht="21.75" hidden="false" customHeight="true" outlineLevel="0" collapsed="false">
      <c r="A33" s="6" t="s">
        <v>59</v>
      </c>
      <c r="B33" s="7" t="n">
        <v>76</v>
      </c>
      <c r="C33" s="8" t="s">
        <v>60</v>
      </c>
      <c r="D33" s="6" t="s">
        <v>52</v>
      </c>
    </row>
    <row r="34" customFormat="false" ht="21.75" hidden="false" customHeight="true" outlineLevel="0" collapsed="false">
      <c r="A34" s="6" t="s">
        <v>61</v>
      </c>
      <c r="B34" s="7" t="n">
        <v>18</v>
      </c>
      <c r="C34" s="8" t="s">
        <v>62</v>
      </c>
      <c r="D34" s="6" t="s">
        <v>25</v>
      </c>
    </row>
    <row r="36" customFormat="false" ht="24" hidden="false" customHeight="true" outlineLevel="0" collapsed="false">
      <c r="A36" s="4" t="s">
        <v>63</v>
      </c>
      <c r="B36" s="4"/>
      <c r="C36" s="4"/>
      <c r="D36" s="4"/>
    </row>
    <row r="37" customFormat="false" ht="19.5" hidden="false" customHeight="true" outlineLevel="0" collapsed="false">
      <c r="A37" s="5" t="s">
        <v>3</v>
      </c>
      <c r="B37" s="5" t="s">
        <v>4</v>
      </c>
      <c r="C37" s="5" t="s">
        <v>5</v>
      </c>
      <c r="D37" s="5" t="s">
        <v>6</v>
      </c>
    </row>
    <row r="38" customFormat="false" ht="21.75" hidden="false" customHeight="true" outlineLevel="0" collapsed="false">
      <c r="A38" s="6" t="s">
        <v>64</v>
      </c>
      <c r="B38" s="7" t="n">
        <v>3</v>
      </c>
      <c r="C38" s="8" t="s">
        <v>65</v>
      </c>
      <c r="D38" s="6" t="s">
        <v>25</v>
      </c>
    </row>
    <row r="39" customFormat="false" ht="21.75" hidden="false" customHeight="true" outlineLevel="0" collapsed="false">
      <c r="A39" s="6" t="s">
        <v>66</v>
      </c>
      <c r="B39" s="7" t="n">
        <v>2</v>
      </c>
      <c r="C39" s="8" t="s">
        <v>67</v>
      </c>
      <c r="D39" s="6" t="s">
        <v>25</v>
      </c>
    </row>
    <row r="40" customFormat="false" ht="21.75" hidden="false" customHeight="true" outlineLevel="0" collapsed="false">
      <c r="A40" s="6" t="s">
        <v>68</v>
      </c>
      <c r="B40" s="7" t="n">
        <v>78</v>
      </c>
      <c r="C40" s="8" t="s">
        <v>69</v>
      </c>
      <c r="D40" s="6" t="s">
        <v>52</v>
      </c>
    </row>
    <row r="41" customFormat="false" ht="21.75" hidden="false" customHeight="true" outlineLevel="0" collapsed="false">
      <c r="A41" s="6" t="s">
        <v>70</v>
      </c>
      <c r="B41" s="7" t="s">
        <v>71</v>
      </c>
      <c r="C41" s="8" t="s">
        <v>72</v>
      </c>
      <c r="D41" s="6" t="s">
        <v>73</v>
      </c>
    </row>
    <row r="42" customFormat="false" ht="21.75" hidden="false" customHeight="true" outlineLevel="0" collapsed="false">
      <c r="A42" s="6" t="s">
        <v>59</v>
      </c>
      <c r="B42" s="7" t="n">
        <v>14.2</v>
      </c>
      <c r="C42" s="8" t="s">
        <v>74</v>
      </c>
      <c r="D42" s="6" t="s">
        <v>52</v>
      </c>
    </row>
    <row r="44" customFormat="false" ht="24" hidden="false" customHeight="true" outlineLevel="0" collapsed="false">
      <c r="A44" s="4" t="s">
        <v>75</v>
      </c>
      <c r="B44" s="4"/>
      <c r="C44" s="4"/>
      <c r="D44" s="4"/>
    </row>
    <row r="45" customFormat="false" ht="19.5" hidden="false" customHeight="true" outlineLevel="0" collapsed="false">
      <c r="A45" s="5" t="s">
        <v>3</v>
      </c>
      <c r="B45" s="5" t="s">
        <v>4</v>
      </c>
      <c r="C45" s="5" t="s">
        <v>5</v>
      </c>
      <c r="D45" s="5" t="s">
        <v>6</v>
      </c>
    </row>
    <row r="46" customFormat="false" ht="21.75" hidden="false" customHeight="true" outlineLevel="0" collapsed="false">
      <c r="A46" s="6" t="s">
        <v>76</v>
      </c>
      <c r="B46" s="7" t="n">
        <v>340</v>
      </c>
      <c r="C46" s="8" t="s">
        <v>77</v>
      </c>
      <c r="D46" s="6" t="s">
        <v>78</v>
      </c>
    </row>
    <row r="47" customFormat="false" ht="21.75" hidden="false" customHeight="true" outlineLevel="0" collapsed="false">
      <c r="A47" s="6" t="s">
        <v>79</v>
      </c>
      <c r="B47" s="7" t="n">
        <v>3</v>
      </c>
      <c r="C47" s="8" t="s">
        <v>80</v>
      </c>
      <c r="D47" s="6" t="s">
        <v>25</v>
      </c>
    </row>
    <row r="48" customFormat="false" ht="21.75" hidden="false" customHeight="true" outlineLevel="0" collapsed="false">
      <c r="A48" s="6" t="s">
        <v>81</v>
      </c>
      <c r="B48" s="7" t="n">
        <v>42000</v>
      </c>
      <c r="C48" s="8" t="s">
        <v>82</v>
      </c>
      <c r="D48" s="6" t="s">
        <v>83</v>
      </c>
    </row>
    <row r="49" customFormat="false" ht="21.75" hidden="false" customHeight="true" outlineLevel="0" collapsed="false">
      <c r="A49" s="6" t="s">
        <v>84</v>
      </c>
      <c r="B49" s="10" t="s">
        <v>85</v>
      </c>
      <c r="C49" s="8" t="s">
        <v>86</v>
      </c>
      <c r="D49" s="6" t="s">
        <v>87</v>
      </c>
    </row>
    <row r="51" customFormat="false" ht="24" hidden="false" customHeight="true" outlineLevel="0" collapsed="false">
      <c r="A51" s="4" t="s">
        <v>88</v>
      </c>
      <c r="B51" s="4"/>
      <c r="C51" s="4"/>
      <c r="D51" s="4"/>
    </row>
    <row r="52" customFormat="false" ht="19.5" hidden="false" customHeight="true" outlineLevel="0" collapsed="false">
      <c r="A52" s="5" t="s">
        <v>89</v>
      </c>
      <c r="B52" s="5" t="s">
        <v>90</v>
      </c>
      <c r="C52" s="5" t="s">
        <v>91</v>
      </c>
      <c r="D52" s="5" t="s">
        <v>92</v>
      </c>
    </row>
    <row r="53" customFormat="false" ht="21.75" hidden="false" customHeight="true" outlineLevel="0" collapsed="false">
      <c r="A53" s="6" t="s">
        <v>93</v>
      </c>
      <c r="B53" s="10" t="n">
        <v>173</v>
      </c>
      <c r="C53" s="8"/>
      <c r="D53" s="11" t="n">
        <f aca="false">IF(B53&gt;0,(B13-B53)/B53*100,"")</f>
        <v>17.9190751445087</v>
      </c>
    </row>
    <row r="54" customFormat="false" ht="21.75" hidden="false" customHeight="true" outlineLevel="0" collapsed="false">
      <c r="A54" s="6" t="s">
        <v>94</v>
      </c>
      <c r="B54" s="10" t="n">
        <v>84.1</v>
      </c>
      <c r="C54" s="8"/>
      <c r="D54" s="12" t="n">
        <f aca="false">IF(B54&gt;0,B29-B54,"")</f>
        <v>4.2</v>
      </c>
    </row>
    <row r="55" customFormat="false" ht="21.75" hidden="false" customHeight="true" outlineLevel="0" collapsed="false">
      <c r="A55" s="6" t="s">
        <v>95</v>
      </c>
      <c r="B55" s="10" t="n">
        <v>90.2</v>
      </c>
      <c r="C55" s="8"/>
      <c r="D55" s="12" t="n">
        <f aca="false">IF(B55&gt;0,B30-B55,"")</f>
        <v>2.59999999999999</v>
      </c>
    </row>
  </sheetData>
  <mergeCells count="9">
    <mergeCell ref="A1:D1"/>
    <mergeCell ref="A2:D2"/>
    <mergeCell ref="A3:D3"/>
    <mergeCell ref="A11:D11"/>
    <mergeCell ref="A19:D19"/>
    <mergeCell ref="A27:D27"/>
    <mergeCell ref="A36:D36"/>
    <mergeCell ref="A44:D44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</cols>
  <sheetData>
    <row r="1" customFormat="false" ht="39.75" hidden="false" customHeight="true" outlineLevel="0" collapsed="false">
      <c r="A1" s="2" t="s">
        <v>96</v>
      </c>
      <c r="B1" s="2"/>
    </row>
    <row r="2" customFormat="false" ht="27.75" hidden="false" customHeight="true" outlineLevel="0" collapsed="false">
      <c r="A2" s="3" t="s">
        <v>97</v>
      </c>
      <c r="B2" s="3"/>
    </row>
    <row r="3" customFormat="false" ht="21.75" hidden="false" customHeight="true" outlineLevel="0" collapsed="false">
      <c r="A3" s="4" t="s">
        <v>98</v>
      </c>
      <c r="B3" s="4"/>
    </row>
    <row r="4" customFormat="false" ht="54" hidden="false" customHeight="true" outlineLevel="0" collapsed="false">
      <c r="A4" s="13" t="s">
        <v>99</v>
      </c>
      <c r="B4" s="14" t="s">
        <v>100</v>
      </c>
    </row>
    <row r="6" customFormat="false" ht="21.75" hidden="false" customHeight="true" outlineLevel="0" collapsed="false">
      <c r="A6" s="4" t="s">
        <v>101</v>
      </c>
      <c r="B6" s="4"/>
    </row>
    <row r="7" customFormat="false" ht="72" hidden="false" customHeight="true" outlineLevel="0" collapsed="false">
      <c r="A7" s="13" t="s">
        <v>102</v>
      </c>
      <c r="B7" s="14" t="s">
        <v>103</v>
      </c>
    </row>
    <row r="8" customFormat="false" ht="72" hidden="false" customHeight="true" outlineLevel="0" collapsed="false">
      <c r="A8" s="13" t="s">
        <v>104</v>
      </c>
      <c r="B8" s="14" t="s">
        <v>105</v>
      </c>
    </row>
    <row r="9" customFormat="false" ht="72" hidden="false" customHeight="true" outlineLevel="0" collapsed="false">
      <c r="A9" s="13" t="s">
        <v>106</v>
      </c>
      <c r="B9" s="14" t="s">
        <v>107</v>
      </c>
    </row>
    <row r="10" customFormat="false" ht="72" hidden="false" customHeight="true" outlineLevel="0" collapsed="false">
      <c r="A10" s="13" t="s">
        <v>108</v>
      </c>
      <c r="B10" s="14" t="s">
        <v>109</v>
      </c>
    </row>
    <row r="12" customFormat="false" ht="21.75" hidden="false" customHeight="true" outlineLevel="0" collapsed="false">
      <c r="A12" s="4" t="s">
        <v>110</v>
      </c>
      <c r="B12" s="4"/>
    </row>
    <row r="13" customFormat="false" ht="72" hidden="false" customHeight="true" outlineLevel="0" collapsed="false">
      <c r="A13" s="13" t="s">
        <v>111</v>
      </c>
      <c r="B13" s="14" t="s">
        <v>112</v>
      </c>
    </row>
    <row r="14" customFormat="false" ht="72" hidden="false" customHeight="true" outlineLevel="0" collapsed="false">
      <c r="A14" s="13" t="s">
        <v>113</v>
      </c>
      <c r="B14" s="14" t="s">
        <v>114</v>
      </c>
    </row>
    <row r="15" customFormat="false" ht="72" hidden="false" customHeight="true" outlineLevel="0" collapsed="false">
      <c r="A15" s="13" t="s">
        <v>115</v>
      </c>
      <c r="B15" s="14" t="s">
        <v>116</v>
      </c>
    </row>
    <row r="16" customFormat="false" ht="72" hidden="false" customHeight="true" outlineLevel="0" collapsed="false">
      <c r="A16" s="13" t="s">
        <v>117</v>
      </c>
      <c r="B16" s="14" t="s">
        <v>118</v>
      </c>
    </row>
    <row r="18" customFormat="false" ht="21.75" hidden="false" customHeight="true" outlineLevel="0" collapsed="false">
      <c r="A18" s="4" t="s">
        <v>119</v>
      </c>
      <c r="B18" s="4"/>
    </row>
    <row r="19" customFormat="false" ht="72" hidden="false" customHeight="true" outlineLevel="0" collapsed="false">
      <c r="A19" s="13" t="s">
        <v>120</v>
      </c>
      <c r="B19" s="14" t="s">
        <v>121</v>
      </c>
    </row>
    <row r="20" customFormat="false" ht="72" hidden="false" customHeight="true" outlineLevel="0" collapsed="false">
      <c r="A20" s="13" t="s">
        <v>122</v>
      </c>
      <c r="B20" s="14" t="s">
        <v>123</v>
      </c>
    </row>
    <row r="21" customFormat="false" ht="72" hidden="false" customHeight="true" outlineLevel="0" collapsed="false">
      <c r="A21" s="13" t="s">
        <v>124</v>
      </c>
      <c r="B21" s="14" t="s">
        <v>125</v>
      </c>
    </row>
    <row r="23" customFormat="false" ht="21.75" hidden="false" customHeight="true" outlineLevel="0" collapsed="false">
      <c r="A23" s="4" t="s">
        <v>126</v>
      </c>
      <c r="B23" s="4"/>
    </row>
    <row r="24" customFormat="false" ht="54" hidden="false" customHeight="true" outlineLevel="0" collapsed="false">
      <c r="A24" s="13" t="s">
        <v>127</v>
      </c>
      <c r="B24" s="14" t="s">
        <v>128</v>
      </c>
    </row>
  </sheetData>
  <mergeCells count="7">
    <mergeCell ref="A1:B1"/>
    <mergeCell ref="A2:B2"/>
    <mergeCell ref="A3:B3"/>
    <mergeCell ref="A6:B6"/>
    <mergeCell ref="A12:B12"/>
    <mergeCell ref="A18:B18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0"/>
  </cols>
  <sheetData>
    <row r="1" customFormat="false" ht="39.75" hidden="false" customHeight="true" outlineLevel="0" collapsed="false">
      <c r="A1" s="15" t="s">
        <v>129</v>
      </c>
      <c r="B1" s="15"/>
    </row>
    <row r="2" customFormat="false" ht="27.75" hidden="false" customHeight="true" outlineLevel="0" collapsed="false">
      <c r="A2" s="16"/>
      <c r="B2" s="17"/>
    </row>
    <row r="3" customFormat="false" ht="27.75" hidden="false" customHeight="true" outlineLevel="0" collapsed="false">
      <c r="A3" s="18" t="s">
        <v>130</v>
      </c>
      <c r="B3" s="19" t="s">
        <v>131</v>
      </c>
    </row>
    <row r="4" customFormat="false" ht="27.75" hidden="false" customHeight="true" outlineLevel="0" collapsed="false">
      <c r="A4" s="18" t="s">
        <v>132</v>
      </c>
      <c r="B4" s="19" t="s">
        <v>133</v>
      </c>
    </row>
    <row r="5" customFormat="false" ht="27.75" hidden="false" customHeight="true" outlineLevel="0" collapsed="false">
      <c r="A5" s="18" t="s">
        <v>134</v>
      </c>
      <c r="B5" s="19" t="s">
        <v>135</v>
      </c>
    </row>
    <row r="6" customFormat="false" ht="27.75" hidden="false" customHeight="true" outlineLevel="0" collapsed="false">
      <c r="A6" s="18" t="s">
        <v>136</v>
      </c>
      <c r="B6" s="19" t="s">
        <v>137</v>
      </c>
    </row>
    <row r="7" customFormat="false" ht="27.75" hidden="false" customHeight="true" outlineLevel="0" collapsed="false">
      <c r="A7" s="18" t="s">
        <v>138</v>
      </c>
      <c r="B7" s="19" t="s">
        <v>139</v>
      </c>
    </row>
    <row r="8" customFormat="false" ht="27.75" hidden="false" customHeight="true" outlineLevel="0" collapsed="false">
      <c r="A8" s="16"/>
      <c r="B8" s="17"/>
    </row>
    <row r="9" customFormat="false" ht="27.75" hidden="false" customHeight="true" outlineLevel="0" collapsed="false">
      <c r="A9" s="20" t="s">
        <v>140</v>
      </c>
      <c r="B9" s="19" t="s">
        <v>141</v>
      </c>
    </row>
    <row r="10" customFormat="false" ht="27.75" hidden="false" customHeight="true" outlineLevel="0" collapsed="false">
      <c r="A10" s="20" t="s">
        <v>140</v>
      </c>
      <c r="B10" s="19" t="s">
        <v>142</v>
      </c>
    </row>
    <row r="11" customFormat="false" ht="27.75" hidden="false" customHeight="true" outlineLevel="0" collapsed="false">
      <c r="A11" s="20" t="s">
        <v>140</v>
      </c>
      <c r="B11" s="19" t="s">
        <v>143</v>
      </c>
    </row>
    <row r="12" customFormat="false" ht="27.75" hidden="false" customHeight="true" outlineLevel="0" collapsed="false">
      <c r="A12" s="16"/>
      <c r="B12" s="17"/>
    </row>
    <row r="13" customFormat="false" ht="27.75" hidden="false" customHeight="true" outlineLevel="0" collapsed="false">
      <c r="A13" s="21" t="s">
        <v>144</v>
      </c>
      <c r="B13" s="19" t="s">
        <v>145</v>
      </c>
    </row>
    <row r="14" customFormat="false" ht="27.75" hidden="false" customHeight="true" outlineLevel="0" collapsed="false">
      <c r="A14" s="16"/>
      <c r="B14" s="17"/>
    </row>
    <row r="15" customFormat="false" ht="27.75" hidden="false" customHeight="true" outlineLevel="0" collapsed="false">
      <c r="A15" s="21" t="s">
        <v>146</v>
      </c>
      <c r="B15" s="19" t="s">
        <v>147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2026-04-18T05:33:08Z</dcterms:created>
  <dc:creator>openpyxl</dc:creator>
  <dc:description/>
  <dc:language>en-US</dc:language>
  <cp:lastModifiedBy/>
  <dcterms:modified xsi:type="dcterms:W3CDTF">2026-04-18T05:33:50Z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